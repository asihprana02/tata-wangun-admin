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0a41f9295394f0/Documents/Rian Data/"/>
    </mc:Choice>
  </mc:AlternateContent>
  <xr:revisionPtr revIDLastSave="37" documentId="8_{A3B35CBD-2F86-482C-92FD-34D258CF998B}" xr6:coauthVersionLast="47" xr6:coauthVersionMax="47" xr10:uidLastSave="{E00F8434-1E69-4FDF-8D06-68EC2DFFB699}"/>
  <bookViews>
    <workbookView xWindow="-120" yWindow="-120" windowWidth="20730" windowHeight="11160" xr2:uid="{DFFBF970-614A-42A5-928A-47BBE83ACE8F}"/>
  </bookViews>
  <sheets>
    <sheet name="Sheet1" sheetId="1" r:id="rId1"/>
    <sheet name="Sheet2" sheetId="2" r:id="rId2"/>
    <sheet name="umpetk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2" l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C3" i="3"/>
  <c r="E11" i="2" s="1"/>
  <c r="F11" i="2" s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2" i="3"/>
  <c r="E10" i="2" s="1"/>
  <c r="F10" i="2" s="1"/>
  <c r="F38" i="1"/>
  <c r="H27" i="1"/>
  <c r="G27" i="1"/>
  <c r="F27" i="1"/>
  <c r="F23" i="1"/>
  <c r="G23" i="1" s="1"/>
  <c r="H23" i="1" s="1"/>
  <c r="F24" i="1"/>
  <c r="G24" i="1" s="1"/>
  <c r="H24" i="1" s="1"/>
  <c r="F17" i="1"/>
  <c r="G17" i="1" s="1"/>
  <c r="H17" i="1" s="1"/>
  <c r="F18" i="1"/>
  <c r="G18" i="1" s="1"/>
  <c r="H18" i="1" s="1"/>
  <c r="F19" i="1"/>
  <c r="F20" i="1"/>
  <c r="G20" i="1" s="1"/>
  <c r="H20" i="1" s="1"/>
  <c r="F21" i="1"/>
  <c r="G21" i="1" s="1"/>
  <c r="H21" i="1" s="1"/>
  <c r="F22" i="1"/>
  <c r="G22" i="1" s="1"/>
  <c r="H22" i="1" s="1"/>
  <c r="G19" i="1"/>
  <c r="H19" i="1" s="1"/>
  <c r="F15" i="1"/>
  <c r="G15" i="1" s="1"/>
  <c r="H15" i="1" s="1"/>
  <c r="F16" i="1"/>
  <c r="G16" i="1" s="1"/>
  <c r="H16" i="1" s="1"/>
  <c r="F9" i="1"/>
  <c r="G9" i="1" s="1"/>
  <c r="H9" i="1" s="1"/>
  <c r="F10" i="1"/>
  <c r="G10" i="1" s="1"/>
  <c r="H10" i="1" s="1"/>
  <c r="F11" i="1"/>
  <c r="G11" i="1" s="1"/>
  <c r="H11" i="1" s="1"/>
  <c r="F12" i="1"/>
  <c r="G12" i="1" s="1"/>
  <c r="H12" i="1" s="1"/>
  <c r="F13" i="1"/>
  <c r="G13" i="1" s="1"/>
  <c r="H13" i="1" s="1"/>
  <c r="F14" i="1"/>
  <c r="G14" i="1" s="1"/>
  <c r="H14" i="1" s="1"/>
  <c r="F8" i="1"/>
  <c r="G8" i="1" s="1"/>
  <c r="H8" i="1" s="1"/>
  <c r="F25" i="2" l="1"/>
  <c r="F42" i="2" s="1"/>
</calcChain>
</file>

<file path=xl/sharedStrings.xml><?xml version="1.0" encoding="utf-8"?>
<sst xmlns="http://schemas.openxmlformats.org/spreadsheetml/2006/main" count="55" uniqueCount="35">
  <si>
    <t>No</t>
  </si>
  <si>
    <t>A. Pengadaan Material dan Perlengkapan Kerja</t>
  </si>
  <si>
    <t>Uraian Material/ Perlengkapan</t>
  </si>
  <si>
    <t>Volume</t>
  </si>
  <si>
    <t>Satuan</t>
  </si>
  <si>
    <t>harga Satuan (Rp)</t>
  </si>
  <si>
    <t>Jumlah Total (Rp)</t>
  </si>
  <si>
    <t>Harga Proyek (Rp)</t>
  </si>
  <si>
    <t>Margin</t>
  </si>
  <si>
    <t>Area Kerja</t>
  </si>
  <si>
    <t>Salatiga dan Sekitarnya (jawa Tengah)</t>
  </si>
  <si>
    <t>Whatsapp: 08978242388</t>
  </si>
  <si>
    <t>Instagram: tata_wangun Interior</t>
  </si>
  <si>
    <t>SUBTOTAL</t>
  </si>
  <si>
    <t>B. Jasa Instalasi dan Prasional</t>
  </si>
  <si>
    <t>Uraian Pekerjaan</t>
  </si>
  <si>
    <t>Harga Satuan (Rp)</t>
  </si>
  <si>
    <t>Jumlah total (Rp)</t>
  </si>
  <si>
    <t>SUBTOTAL JASA DAN OPERASIONAL</t>
  </si>
  <si>
    <t>A. Pengadaan Material Dan Perlengkapan Kerja</t>
  </si>
  <si>
    <t>Uraian Material</t>
  </si>
  <si>
    <t>Jumah Total (Rp)</t>
  </si>
  <si>
    <t>no</t>
  </si>
  <si>
    <t>SUBTOTAL MATERIAL DAN ALAT</t>
  </si>
  <si>
    <t>C. Rekapitulasi Total Penawaran</t>
  </si>
  <si>
    <t>Subtotal Pengadaan Material dan Perlengkapan</t>
  </si>
  <si>
    <t>Subtotal Jasa Instalasi dan Oprasional</t>
  </si>
  <si>
    <t>Total Biaya Pekerjaan</t>
  </si>
  <si>
    <t>Megnetahui dan Menyetujui</t>
  </si>
  <si>
    <t>klien/ pemilik Rumah</t>
  </si>
  <si>
    <t>Hormat Kami,</t>
  </si>
  <si>
    <t>tata_wangun interior</t>
  </si>
  <si>
    <t>Penanggung Jawab</t>
  </si>
  <si>
    <t>( …................................)</t>
  </si>
  <si>
    <t>B. Jasa Instalasi dan Oprasional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</si>
</sst>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Rp&quot;#,##0;\-&quot;Rp&quot;#,##0"/>
    <numFmt numFmtId="7" formatCode="&quot;Rp&quot;#,##0.00;\-&quot;Rp&quot;#,##0.00"/>
    <numFmt numFmtId="164" formatCode="@* \: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18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5" fontId="2" fillId="0" borderId="0" xfId="0" applyNumberFormat="1" applyFont="1"/>
    <xf numFmtId="0" fontId="2" fillId="0" borderId="5" xfId="0" applyFont="1" applyBorder="1"/>
    <xf numFmtId="0" fontId="2" fillId="0" borderId="1" xfId="0" applyFont="1" applyBorder="1"/>
    <xf numFmtId="5" fontId="2" fillId="0" borderId="1" xfId="0" applyNumberFormat="1" applyFont="1" applyBorder="1"/>
    <xf numFmtId="0" fontId="2" fillId="0" borderId="8" xfId="0" applyFont="1" applyBorder="1"/>
    <xf numFmtId="5" fontId="2" fillId="0" borderId="9" xfId="0" applyNumberFormat="1" applyFont="1" applyBorder="1"/>
    <xf numFmtId="0" fontId="0" fillId="0" borderId="2" xfId="0" applyBorder="1"/>
    <xf numFmtId="0" fontId="0" fillId="0" borderId="4" xfId="0" applyBorder="1"/>
    <xf numFmtId="0" fontId="2" fillId="0" borderId="7" xfId="0" applyFont="1" applyBorder="1"/>
    <xf numFmtId="0" fontId="2" fillId="0" borderId="10" xfId="0" applyFont="1" applyBorder="1"/>
    <xf numFmtId="0" fontId="2" fillId="3" borderId="0" xfId="0" applyFont="1" applyFill="1"/>
    <xf numFmtId="5" fontId="2" fillId="3" borderId="0" xfId="0" applyNumberFormat="1" applyFont="1" applyFill="1"/>
    <xf numFmtId="0" fontId="0" fillId="0" borderId="1" xfId="0" applyBorder="1"/>
    <xf numFmtId="0" fontId="2" fillId="0" borderId="0" xfId="0" applyFont="1" applyAlignment="1">
      <alignment horizontal="center"/>
    </xf>
    <xf numFmtId="5" fontId="5" fillId="4" borderId="0" xfId="0" applyNumberFormat="1" applyFont="1" applyFill="1"/>
    <xf numFmtId="7" fontId="2" fillId="0" borderId="1" xfId="0" applyNumberFormat="1" applyFont="1" applyBorder="1"/>
    <xf numFmtId="0" fontId="3" fillId="6" borderId="1" xfId="0" applyFont="1" applyFill="1" applyBorder="1" applyAlignment="1">
      <alignment horizontal="center"/>
    </xf>
    <xf numFmtId="5" fontId="3" fillId="4" borderId="14" xfId="0" applyNumberFormat="1" applyFont="1" applyFill="1" applyBorder="1"/>
    <xf numFmtId="7" fontId="2" fillId="0" borderId="19" xfId="0" applyNumberFormat="1" applyFont="1" applyBorder="1"/>
    <xf numFmtId="7" fontId="3" fillId="0" borderId="22" xfId="0" applyNumberFormat="1" applyFont="1" applyBorder="1"/>
    <xf numFmtId="0" fontId="2" fillId="5" borderId="15" xfId="0" applyFont="1" applyFill="1" applyBorder="1"/>
    <xf numFmtId="0" fontId="2" fillId="5" borderId="16" xfId="0" applyFont="1" applyFill="1" applyBorder="1"/>
    <xf numFmtId="5" fontId="2" fillId="5" borderId="16" xfId="0" applyNumberFormat="1" applyFont="1" applyFill="1" applyBorder="1"/>
    <xf numFmtId="5" fontId="2" fillId="5" borderId="17" xfId="0" applyNumberFormat="1" applyFont="1" applyFill="1" applyBorder="1"/>
    <xf numFmtId="0" fontId="2" fillId="0" borderId="18" xfId="0" applyFont="1" applyBorder="1"/>
    <xf numFmtId="5" fontId="2" fillId="0" borderId="19" xfId="0" applyNumberFormat="1" applyFont="1" applyBorder="1"/>
    <xf numFmtId="0" fontId="2" fillId="0" borderId="20" xfId="0" applyFont="1" applyBorder="1"/>
    <xf numFmtId="0" fontId="2" fillId="0" borderId="21" xfId="0" applyFont="1" applyBorder="1"/>
    <xf numFmtId="5" fontId="2" fillId="0" borderId="21" xfId="0" applyNumberFormat="1" applyFont="1" applyBorder="1"/>
    <xf numFmtId="5" fontId="2" fillId="0" borderId="22" xfId="0" applyNumberFormat="1" applyFont="1" applyBorder="1"/>
    <xf numFmtId="0" fontId="3" fillId="7" borderId="15" xfId="0" applyFont="1" applyFill="1" applyBorder="1"/>
    <xf numFmtId="0" fontId="3" fillId="7" borderId="16" xfId="0" applyFont="1" applyFill="1" applyBorder="1"/>
    <xf numFmtId="0" fontId="3" fillId="7" borderId="17" xfId="0" applyFont="1" applyFill="1" applyBorder="1"/>
    <xf numFmtId="7" fontId="3" fillId="7" borderId="22" xfId="0" applyNumberFormat="1" applyFont="1" applyFill="1" applyBorder="1"/>
    <xf numFmtId="0" fontId="2" fillId="4" borderId="24" xfId="0" applyFont="1" applyFill="1" applyBorder="1"/>
    <xf numFmtId="5" fontId="2" fillId="4" borderId="24" xfId="0" applyNumberFormat="1" applyFont="1" applyFill="1" applyBorder="1"/>
    <xf numFmtId="5" fontId="3" fillId="4" borderId="25" xfId="0" applyNumberFormat="1" applyFont="1" applyFill="1" applyBorder="1"/>
    <xf numFmtId="0" fontId="0" fillId="0" borderId="8" xfId="0" applyBorder="1"/>
    <xf numFmtId="0" fontId="0" fillId="0" borderId="11" xfId="0" applyBorder="1"/>
    <xf numFmtId="0" fontId="3" fillId="4" borderId="23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0" fontId="3" fillId="4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5" fontId="4" fillId="3" borderId="0" xfId="0" applyNumberFormat="1" applyFont="1" applyFill="1" applyAlignment="1">
      <alignment horizontal="right"/>
    </xf>
    <xf numFmtId="5" fontId="4" fillId="3" borderId="6" xfId="0" applyNumberFormat="1" applyFont="1" applyFill="1" applyBorder="1" applyAlignment="1">
      <alignment horizontal="right"/>
    </xf>
    <xf numFmtId="164" fontId="5" fillId="4" borderId="0" xfId="0" applyNumberFormat="1" applyFont="1" applyFill="1" applyAlignment="1">
      <alignment horizontal="right"/>
    </xf>
    <xf numFmtId="164" fontId="2" fillId="0" borderId="20" xfId="0" applyNumberFormat="1" applyFont="1" applyBorder="1" applyAlignment="1">
      <alignment horizontal="center"/>
    </xf>
    <xf numFmtId="164" fontId="2" fillId="0" borderId="21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3" fillId="4" borderId="12" xfId="0" applyNumberFormat="1" applyFont="1" applyFill="1" applyBorder="1" applyAlignment="1">
      <alignment horizontal="center"/>
    </xf>
    <xf numFmtId="164" fontId="3" fillId="4" borderId="13" xfId="0" applyNumberFormat="1" applyFont="1" applyFill="1" applyBorder="1" applyAlignment="1">
      <alignment horizontal="center"/>
    </xf>
    <xf numFmtId="0" fontId="4" fillId="8" borderId="15" xfId="0" applyFont="1" applyFill="1" applyBorder="1" applyAlignment="1">
      <alignment horizontal="left"/>
    </xf>
    <xf numFmtId="0" fontId="4" fillId="8" borderId="16" xfId="0" applyFont="1" applyFill="1" applyBorder="1" applyAlignment="1">
      <alignment horizontal="left"/>
    </xf>
    <xf numFmtId="0" fontId="4" fillId="8" borderId="17" xfId="0" applyFont="1" applyFill="1" applyBorder="1" applyAlignment="1">
      <alignment horizontal="left"/>
    </xf>
    <xf numFmtId="164" fontId="2" fillId="0" borderId="18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3" fillId="7" borderId="0" xfId="0" applyFont="1" applyFill="1" applyAlignment="1">
      <alignment horizontal="left"/>
    </xf>
    <xf numFmtId="164" fontId="3" fillId="7" borderId="20" xfId="0" applyNumberFormat="1" applyFont="1" applyFill="1" applyBorder="1" applyAlignment="1">
      <alignment horizontal="center"/>
    </xf>
    <xf numFmtId="164" fontId="3" fillId="7" borderId="21" xfId="0" applyNumberFormat="1" applyFont="1" applyFill="1" applyBorder="1" applyAlignment="1">
      <alignment horizontal="center"/>
    </xf>
  </cellXfs>
  <cellStyles count="1">
    <cellStyle name="Normal" xfId="0" builtinId="0"/>
  </cellStyles>
  <dxfs count="22">
    <dxf>
      <border diagonalUp="0" diagonalDown="0">
        <left style="thin">
          <color indexed="64"/>
        </left>
        <right/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9" formatCode="&quot;Rp&quot;#,##0;\-&quot;Rp&quot;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9" formatCode="&quot;Rp&quot;#,##0;\-&quot;Rp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9" formatCode="&quot;Rp&quot;#,##0;\-&quot;Rp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9" formatCode="&quot;Rp&quot;#,##0;\-&quot;Rp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89648</xdr:colOff>
      <xdr:row>4</xdr:row>
      <xdr:rowOff>196648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6B373E-8175-33BB-7A9E-04DBFEDE39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214" b="34479"/>
        <a:stretch/>
      </xdr:blipFill>
      <xdr:spPr>
        <a:xfrm>
          <a:off x="0" y="0"/>
          <a:ext cx="3468952" cy="9917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859622</xdr:colOff>
      <xdr:row>5</xdr:row>
      <xdr:rowOff>44248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8AF328-4839-47ED-BB64-48075FB2B5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214" b="34479"/>
        <a:stretch/>
      </xdr:blipFill>
      <xdr:spPr>
        <a:xfrm>
          <a:off x="0" y="0"/>
          <a:ext cx="3471023" cy="1044373"/>
        </a:xfrm>
        <a:prstGeom prst="rect">
          <a:avLst/>
        </a:prstGeom>
      </xdr:spPr>
    </xdr:pic>
    <xdr:clientData/>
  </xdr:twoCellAnchor>
  <xdr:twoCellAnchor editAs="oneCell">
    <xdr:from>
      <xdr:col>4</xdr:col>
      <xdr:colOff>123336</xdr:colOff>
      <xdr:row>46</xdr:row>
      <xdr:rowOff>168088</xdr:rowOff>
    </xdr:from>
    <xdr:to>
      <xdr:col>4</xdr:col>
      <xdr:colOff>1131448</xdr:colOff>
      <xdr:row>50</xdr:row>
      <xdr:rowOff>156882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25D0C0-DB01-C008-EF40-D50B7E64D4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8" t="22592" r="7076" b="8781"/>
        <a:stretch/>
      </xdr:blipFill>
      <xdr:spPr>
        <a:xfrm>
          <a:off x="2745512" y="9513794"/>
          <a:ext cx="1008112" cy="7956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E0B0D0-E6CC-4C96-ACB0-6DD14AD81CC8}" name="Table2" displayName="Table2" ref="A7:H25" totalsRowCount="1" headerRowDxfId="21" dataDxfId="19" totalsRowDxfId="17" headerRowBorderDxfId="20" tableBorderDxfId="18" totalsRowBorderDxfId="16">
  <autoFilter ref="A7:H24" xr:uid="{4CE0B0D0-E6CC-4C96-ACB0-6DD14AD81CC8}"/>
  <tableColumns count="8">
    <tableColumn id="1" xr3:uid="{1083131F-8178-44F7-8089-81612C85DE44}" name="No" dataDxfId="15" totalsRowDxfId="14"/>
    <tableColumn id="2" xr3:uid="{279AAF5F-C803-4D0B-8104-33AF0E522F20}" name="Uraian Material/ Perlengkapan" dataDxfId="13" totalsRowDxfId="12"/>
    <tableColumn id="3" xr3:uid="{C973AF82-BCCA-4426-995D-834FD5FBECE2}" name="Volume" dataDxfId="11" totalsRowDxfId="10"/>
    <tableColumn id="4" xr3:uid="{4F014CC3-8751-4F1A-B703-924C993E4240}" name="Satuan" dataDxfId="9" totalsRowDxfId="8"/>
    <tableColumn id="5" xr3:uid="{01F13958-C5E6-4380-9939-967281EEBA54}" name="harga Satuan (Rp)" dataDxfId="7" totalsRowDxfId="6"/>
    <tableColumn id="6" xr3:uid="{DF8CA550-573F-4697-AD3C-88771CCEEEC1}" name="Margin" dataDxfId="5" totalsRowDxfId="4"/>
    <tableColumn id="7" xr3:uid="{735D5E28-85FD-4EAD-ABE3-0D5424FBA882}" name="Harga Proyek (Rp)" dataDxfId="3" totalsRowDxfId="2">
      <calculatedColumnFormula>E8+F8</calculatedColumnFormula>
    </tableColumn>
    <tableColumn id="8" xr3:uid="{CF434C79-DD8E-484B-962B-BB205575EF99}" name="Jumlah Total (Rp)" dataDxfId="1" totalsRowDxfId="0">
      <calculatedColumnFormula>G8*C8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151B5-EBC6-45AC-AF9C-91C8F55FD9B2}">
  <dimension ref="A1:H38"/>
  <sheetViews>
    <sheetView showGridLines="0" tabSelected="1" zoomScale="115" zoomScaleNormal="115" workbookViewId="0">
      <selection activeCell="H15" sqref="H15"/>
    </sheetView>
  </sheetViews>
  <sheetFormatPr defaultRowHeight="15.75" x14ac:dyDescent="0.25"/>
  <cols>
    <col min="1" max="1" width="6.28515625" style="2" bestFit="1" customWidth="1"/>
    <col min="2" max="2" width="33.7109375" style="2" bestFit="1" customWidth="1"/>
    <col min="3" max="3" width="10.7109375" style="2" bestFit="1" customWidth="1"/>
    <col min="4" max="4" width="9.85546875" style="2" bestFit="1" customWidth="1"/>
    <col min="5" max="5" width="21.42578125" style="3" bestFit="1" customWidth="1"/>
    <col min="6" max="6" width="16.85546875" style="3" bestFit="1" customWidth="1"/>
    <col min="7" max="7" width="22.42578125" style="3" bestFit="1" customWidth="1"/>
    <col min="8" max="8" width="22.85546875" style="2" customWidth="1"/>
    <col min="9" max="16384" width="9.140625" style="2"/>
  </cols>
  <sheetData>
    <row r="1" spans="1:8" x14ac:dyDescent="0.25">
      <c r="A1" s="13"/>
      <c r="B1" s="13"/>
      <c r="C1" s="13"/>
      <c r="D1" s="13"/>
      <c r="E1" s="14"/>
      <c r="F1" s="14"/>
      <c r="G1" s="14"/>
      <c r="H1" s="13"/>
    </row>
    <row r="2" spans="1:8" x14ac:dyDescent="0.25">
      <c r="A2" s="13"/>
      <c r="B2" s="13"/>
      <c r="C2" s="13"/>
      <c r="D2" s="13"/>
      <c r="E2" s="14"/>
      <c r="F2" s="14"/>
      <c r="G2" s="48" t="s">
        <v>9</v>
      </c>
      <c r="H2" s="48"/>
    </row>
    <row r="3" spans="1:8" x14ac:dyDescent="0.25">
      <c r="A3" s="13"/>
      <c r="B3" s="13"/>
      <c r="C3" s="13"/>
      <c r="D3" s="13"/>
      <c r="E3" s="14"/>
      <c r="F3" s="14"/>
      <c r="G3" s="48" t="s">
        <v>10</v>
      </c>
      <c r="H3" s="48"/>
    </row>
    <row r="4" spans="1:8" x14ac:dyDescent="0.25">
      <c r="A4" s="13"/>
      <c r="B4" s="13"/>
      <c r="C4" s="13"/>
      <c r="D4" s="13"/>
      <c r="E4" s="14"/>
      <c r="F4" s="14"/>
      <c r="G4" s="48" t="s">
        <v>11</v>
      </c>
      <c r="H4" s="48"/>
    </row>
    <row r="5" spans="1:8" x14ac:dyDescent="0.25">
      <c r="A5" s="13"/>
      <c r="B5" s="13"/>
      <c r="C5" s="13"/>
      <c r="D5" s="13"/>
      <c r="E5" s="14"/>
      <c r="F5" s="14"/>
      <c r="G5" s="49" t="s">
        <v>12</v>
      </c>
      <c r="H5" s="49"/>
    </row>
    <row r="6" spans="1:8" x14ac:dyDescent="0.25">
      <c r="A6" s="45" t="s">
        <v>1</v>
      </c>
      <c r="B6" s="46"/>
      <c r="C6" s="46"/>
      <c r="D6" s="46"/>
      <c r="E6" s="46"/>
      <c r="F6" s="46"/>
      <c r="G6" s="46"/>
      <c r="H6" s="47"/>
    </row>
    <row r="7" spans="1:8" x14ac:dyDescent="0.25">
      <c r="A7" s="11" t="s">
        <v>0</v>
      </c>
      <c r="B7" s="12" t="s">
        <v>2</v>
      </c>
      <c r="C7" s="12" t="s">
        <v>3</v>
      </c>
      <c r="D7" s="12" t="s">
        <v>4</v>
      </c>
      <c r="E7" s="12" t="s">
        <v>5</v>
      </c>
      <c r="F7" s="12" t="s">
        <v>8</v>
      </c>
      <c r="G7" s="12" t="s">
        <v>7</v>
      </c>
      <c r="H7" s="4" t="s">
        <v>6</v>
      </c>
    </row>
    <row r="8" spans="1:8" x14ac:dyDescent="0.25">
      <c r="A8" s="7">
        <v>1</v>
      </c>
      <c r="B8" s="5"/>
      <c r="C8" s="5">
        <v>22</v>
      </c>
      <c r="D8" s="5"/>
      <c r="E8" s="6">
        <v>20000</v>
      </c>
      <c r="F8" s="6">
        <f>E8*13%</f>
        <v>2600</v>
      </c>
      <c r="G8" s="6">
        <f>E8+F8</f>
        <v>22600</v>
      </c>
      <c r="H8" s="8">
        <f>G8*C8</f>
        <v>497200</v>
      </c>
    </row>
    <row r="9" spans="1:8" x14ac:dyDescent="0.25">
      <c r="A9" s="7">
        <v>2</v>
      </c>
      <c r="B9" s="5"/>
      <c r="C9" s="5">
        <v>27</v>
      </c>
      <c r="D9" s="5"/>
      <c r="E9" s="6">
        <v>30000</v>
      </c>
      <c r="F9" s="6">
        <f t="shared" ref="F9:F24" si="0">E9*13%</f>
        <v>3900</v>
      </c>
      <c r="G9" s="6">
        <f t="shared" ref="G9:G17" si="1">E9+F9</f>
        <v>33900</v>
      </c>
      <c r="H9" s="8">
        <f t="shared" ref="H9:H17" si="2">G9*C9</f>
        <v>915300</v>
      </c>
    </row>
    <row r="10" spans="1:8" x14ac:dyDescent="0.25">
      <c r="A10" s="7">
        <v>3</v>
      </c>
      <c r="B10" s="5"/>
      <c r="C10" s="5">
        <v>25</v>
      </c>
      <c r="D10" s="5"/>
      <c r="E10" s="6">
        <v>60000</v>
      </c>
      <c r="F10" s="6">
        <f t="shared" si="0"/>
        <v>7800</v>
      </c>
      <c r="G10" s="6">
        <f t="shared" si="1"/>
        <v>67800</v>
      </c>
      <c r="H10" s="8">
        <f t="shared" si="2"/>
        <v>1695000</v>
      </c>
    </row>
    <row r="11" spans="1:8" x14ac:dyDescent="0.25">
      <c r="A11" s="7">
        <v>4</v>
      </c>
      <c r="B11" s="5"/>
      <c r="C11" s="5">
        <v>4</v>
      </c>
      <c r="D11" s="5"/>
      <c r="E11" s="6">
        <v>200000</v>
      </c>
      <c r="F11" s="6">
        <f t="shared" si="0"/>
        <v>26000</v>
      </c>
      <c r="G11" s="6">
        <f t="shared" si="1"/>
        <v>226000</v>
      </c>
      <c r="H11" s="8">
        <f t="shared" si="2"/>
        <v>904000</v>
      </c>
    </row>
    <row r="12" spans="1:8" x14ac:dyDescent="0.25">
      <c r="A12" s="7">
        <v>5</v>
      </c>
      <c r="B12" s="5"/>
      <c r="C12" s="5">
        <v>2</v>
      </c>
      <c r="D12" s="5"/>
      <c r="E12" s="6">
        <v>500000</v>
      </c>
      <c r="F12" s="6">
        <f t="shared" si="0"/>
        <v>65000</v>
      </c>
      <c r="G12" s="6">
        <f t="shared" si="1"/>
        <v>565000</v>
      </c>
      <c r="H12" s="8">
        <f t="shared" si="2"/>
        <v>1130000</v>
      </c>
    </row>
    <row r="13" spans="1:8" x14ac:dyDescent="0.25">
      <c r="A13" s="7">
        <v>6</v>
      </c>
      <c r="B13" s="5"/>
      <c r="C13" s="5"/>
      <c r="D13" s="5"/>
      <c r="E13" s="6"/>
      <c r="F13" s="6">
        <f t="shared" si="0"/>
        <v>0</v>
      </c>
      <c r="G13" s="6">
        <f t="shared" si="1"/>
        <v>0</v>
      </c>
      <c r="H13" s="8">
        <f t="shared" si="2"/>
        <v>0</v>
      </c>
    </row>
    <row r="14" spans="1:8" x14ac:dyDescent="0.25">
      <c r="A14" s="7">
        <v>7</v>
      </c>
      <c r="B14" s="5"/>
      <c r="C14" s="5"/>
      <c r="D14" s="5"/>
      <c r="E14" s="6"/>
      <c r="F14" s="6">
        <f t="shared" si="0"/>
        <v>0</v>
      </c>
      <c r="G14" s="6">
        <f t="shared" si="1"/>
        <v>0</v>
      </c>
      <c r="H14" s="8">
        <f t="shared" si="2"/>
        <v>0</v>
      </c>
    </row>
    <row r="15" spans="1:8" x14ac:dyDescent="0.25">
      <c r="A15" s="7">
        <v>8</v>
      </c>
      <c r="B15" s="5"/>
      <c r="C15" s="5"/>
      <c r="D15" s="5"/>
      <c r="E15" s="6"/>
      <c r="F15" s="6">
        <f t="shared" si="0"/>
        <v>0</v>
      </c>
      <c r="G15" s="6">
        <f t="shared" si="1"/>
        <v>0</v>
      </c>
      <c r="H15" s="8">
        <f t="shared" si="2"/>
        <v>0</v>
      </c>
    </row>
    <row r="16" spans="1:8" x14ac:dyDescent="0.25">
      <c r="A16" s="7">
        <v>9</v>
      </c>
      <c r="B16" s="5"/>
      <c r="C16" s="5"/>
      <c r="D16" s="5"/>
      <c r="E16" s="6"/>
      <c r="F16" s="6">
        <f t="shared" si="0"/>
        <v>0</v>
      </c>
      <c r="G16" s="6">
        <f t="shared" si="1"/>
        <v>0</v>
      </c>
      <c r="H16" s="8">
        <f t="shared" si="2"/>
        <v>0</v>
      </c>
    </row>
    <row r="17" spans="1:8" x14ac:dyDescent="0.25">
      <c r="A17" s="7">
        <v>10</v>
      </c>
      <c r="B17" s="5"/>
      <c r="C17" s="5"/>
      <c r="D17" s="5"/>
      <c r="E17" s="6"/>
      <c r="F17" s="6">
        <f t="shared" si="0"/>
        <v>0</v>
      </c>
      <c r="G17" s="6">
        <f t="shared" si="1"/>
        <v>0</v>
      </c>
      <c r="H17" s="8">
        <f t="shared" si="2"/>
        <v>0</v>
      </c>
    </row>
    <row r="18" spans="1:8" x14ac:dyDescent="0.25">
      <c r="A18" s="7">
        <v>11</v>
      </c>
      <c r="B18" s="5"/>
      <c r="C18" s="5"/>
      <c r="D18" s="5"/>
      <c r="E18" s="6"/>
      <c r="F18" s="6">
        <f t="shared" si="0"/>
        <v>0</v>
      </c>
      <c r="G18" s="6">
        <f t="shared" ref="G18:G23" si="3">E18+F18</f>
        <v>0</v>
      </c>
      <c r="H18" s="8">
        <f t="shared" ref="H18:H23" si="4">G18*C18</f>
        <v>0</v>
      </c>
    </row>
    <row r="19" spans="1:8" x14ac:dyDescent="0.25">
      <c r="A19" s="7">
        <v>12</v>
      </c>
      <c r="B19" s="5"/>
      <c r="C19" s="5"/>
      <c r="D19" s="5"/>
      <c r="E19" s="6"/>
      <c r="F19" s="6">
        <f t="shared" si="0"/>
        <v>0</v>
      </c>
      <c r="G19" s="6">
        <f t="shared" si="3"/>
        <v>0</v>
      </c>
      <c r="H19" s="8">
        <f t="shared" si="4"/>
        <v>0</v>
      </c>
    </row>
    <row r="20" spans="1:8" x14ac:dyDescent="0.25">
      <c r="A20" s="7">
        <v>13</v>
      </c>
      <c r="B20" s="5"/>
      <c r="C20" s="5"/>
      <c r="D20" s="5"/>
      <c r="E20" s="6"/>
      <c r="F20" s="6">
        <f t="shared" si="0"/>
        <v>0</v>
      </c>
      <c r="G20" s="6">
        <f t="shared" si="3"/>
        <v>0</v>
      </c>
      <c r="H20" s="8">
        <f t="shared" si="4"/>
        <v>0</v>
      </c>
    </row>
    <row r="21" spans="1:8" x14ac:dyDescent="0.25">
      <c r="A21" s="7">
        <v>14</v>
      </c>
      <c r="B21" s="5"/>
      <c r="C21" s="5"/>
      <c r="D21" s="5"/>
      <c r="E21" s="6"/>
      <c r="F21" s="6">
        <f t="shared" si="0"/>
        <v>0</v>
      </c>
      <c r="G21" s="6">
        <f t="shared" si="3"/>
        <v>0</v>
      </c>
      <c r="H21" s="8">
        <f t="shared" si="4"/>
        <v>0</v>
      </c>
    </row>
    <row r="22" spans="1:8" x14ac:dyDescent="0.25">
      <c r="A22" s="7">
        <v>15</v>
      </c>
      <c r="B22" s="5"/>
      <c r="C22" s="5"/>
      <c r="D22" s="5"/>
      <c r="E22" s="6"/>
      <c r="F22" s="6">
        <f t="shared" si="0"/>
        <v>0</v>
      </c>
      <c r="G22" s="6">
        <f t="shared" si="3"/>
        <v>0</v>
      </c>
      <c r="H22" s="8">
        <f t="shared" si="4"/>
        <v>0</v>
      </c>
    </row>
    <row r="23" spans="1:8" x14ac:dyDescent="0.25">
      <c r="A23" s="40"/>
      <c r="B23" s="15"/>
      <c r="C23" s="15"/>
      <c r="D23" s="15"/>
      <c r="E23" s="15"/>
      <c r="F23" s="6">
        <f t="shared" si="0"/>
        <v>0</v>
      </c>
      <c r="G23" s="6">
        <f t="shared" si="3"/>
        <v>0</v>
      </c>
      <c r="H23" s="8">
        <f t="shared" si="4"/>
        <v>0</v>
      </c>
    </row>
    <row r="24" spans="1:8" x14ac:dyDescent="0.25">
      <c r="A24" s="7"/>
      <c r="B24" s="5"/>
      <c r="C24" s="5"/>
      <c r="D24" s="5"/>
      <c r="E24" s="6"/>
      <c r="F24" s="6">
        <f t="shared" si="0"/>
        <v>0</v>
      </c>
      <c r="G24" s="6">
        <f>E24+F24</f>
        <v>0</v>
      </c>
      <c r="H24" s="8">
        <f>G24*C24</f>
        <v>0</v>
      </c>
    </row>
    <row r="25" spans="1:8" x14ac:dyDescent="0.25">
      <c r="A25" s="10"/>
      <c r="B25" s="41"/>
      <c r="C25" s="41"/>
      <c r="D25" s="41"/>
      <c r="E25" s="41"/>
      <c r="F25" s="41"/>
      <c r="G25" s="41"/>
      <c r="H25" s="9"/>
    </row>
    <row r="27" spans="1:8" ht="22.5" x14ac:dyDescent="0.3">
      <c r="B27" s="50" t="s">
        <v>13</v>
      </c>
      <c r="C27" s="50"/>
      <c r="D27" s="50"/>
      <c r="E27" s="50"/>
      <c r="F27" s="17">
        <f>SUM(Table2[Margin])</f>
        <v>105300</v>
      </c>
      <c r="G27" s="17">
        <f>SUM(Table2[Harga Proyek (Rp)])</f>
        <v>915300</v>
      </c>
      <c r="H27" s="17">
        <f>SUM(Table2[Jumlah Total (Rp)])</f>
        <v>5141500</v>
      </c>
    </row>
    <row r="30" spans="1:8" ht="16.5" thickBot="1" x14ac:dyDescent="0.3">
      <c r="A30" s="44" t="s">
        <v>34</v>
      </c>
      <c r="B30" s="44"/>
      <c r="C30" s="44"/>
      <c r="D30" s="44"/>
      <c r="E30" s="44"/>
      <c r="F30" s="44"/>
    </row>
    <row r="31" spans="1:8" x14ac:dyDescent="0.25">
      <c r="A31" s="23" t="s">
        <v>0</v>
      </c>
      <c r="B31" s="24" t="s">
        <v>15</v>
      </c>
      <c r="C31" s="24" t="s">
        <v>3</v>
      </c>
      <c r="D31" s="24" t="s">
        <v>4</v>
      </c>
      <c r="E31" s="25" t="s">
        <v>16</v>
      </c>
      <c r="F31" s="26" t="s">
        <v>17</v>
      </c>
    </row>
    <row r="32" spans="1:8" x14ac:dyDescent="0.25">
      <c r="A32" s="27">
        <v>1</v>
      </c>
      <c r="B32" s="5"/>
      <c r="C32" s="5"/>
      <c r="D32" s="5"/>
      <c r="E32" s="6"/>
      <c r="F32" s="28"/>
    </row>
    <row r="33" spans="1:6" x14ac:dyDescent="0.25">
      <c r="A33" s="27">
        <v>2</v>
      </c>
      <c r="B33" s="5"/>
      <c r="C33" s="5"/>
      <c r="D33" s="5"/>
      <c r="E33" s="6"/>
      <c r="F33" s="28"/>
    </row>
    <row r="34" spans="1:6" x14ac:dyDescent="0.25">
      <c r="A34" s="27">
        <v>3</v>
      </c>
      <c r="B34" s="5"/>
      <c r="C34" s="5"/>
      <c r="D34" s="5"/>
      <c r="E34" s="6"/>
      <c r="F34" s="28"/>
    </row>
    <row r="35" spans="1:6" x14ac:dyDescent="0.25">
      <c r="A35" s="27">
        <v>4</v>
      </c>
      <c r="B35" s="5"/>
      <c r="C35" s="5"/>
      <c r="D35" s="5"/>
      <c r="E35" s="6"/>
      <c r="F35" s="28"/>
    </row>
    <row r="36" spans="1:6" ht="16.5" thickBot="1" x14ac:dyDescent="0.3">
      <c r="A36" s="29">
        <v>5</v>
      </c>
      <c r="B36" s="30"/>
      <c r="C36" s="30"/>
      <c r="D36" s="30"/>
      <c r="E36" s="31"/>
      <c r="F36" s="32"/>
    </row>
    <row r="37" spans="1:6" ht="16.5" thickBot="1" x14ac:dyDescent="0.3"/>
    <row r="38" spans="1:6" ht="16.5" thickBot="1" x14ac:dyDescent="0.3">
      <c r="B38" s="42" t="s">
        <v>18</v>
      </c>
      <c r="C38" s="43"/>
      <c r="D38" s="37"/>
      <c r="E38" s="38"/>
      <c r="F38" s="39">
        <f>SUM(F32:F36)</f>
        <v>0</v>
      </c>
    </row>
  </sheetData>
  <mergeCells count="8">
    <mergeCell ref="B38:C38"/>
    <mergeCell ref="A30:F30"/>
    <mergeCell ref="A6:H6"/>
    <mergeCell ref="G2:H2"/>
    <mergeCell ref="G3:H3"/>
    <mergeCell ref="G4:H4"/>
    <mergeCell ref="G5:H5"/>
    <mergeCell ref="B27:E27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AFA4-9FAF-4D2F-93D1-E9303B065CF1}">
  <sheetPr>
    <pageSetUpPr fitToPage="1"/>
  </sheetPr>
  <dimension ref="A1:H53"/>
  <sheetViews>
    <sheetView showGridLines="0" topLeftCell="A16" zoomScale="85" zoomScaleNormal="85" workbookViewId="0">
      <selection activeCell="P20" sqref="P20"/>
    </sheetView>
  </sheetViews>
  <sheetFormatPr defaultRowHeight="15" x14ac:dyDescent="0.25"/>
  <cols>
    <col min="1" max="1" width="3.85546875" bestFit="1" customWidth="1"/>
    <col min="2" max="2" width="17.85546875" bestFit="1" customWidth="1"/>
    <col min="3" max="3" width="9.28515625" bestFit="1" customWidth="1"/>
    <col min="4" max="4" width="8.42578125" bestFit="1" customWidth="1"/>
    <col min="5" max="5" width="21" bestFit="1" customWidth="1"/>
    <col min="6" max="6" width="19.5703125" bestFit="1" customWidth="1"/>
    <col min="8" max="8" width="36.140625" customWidth="1"/>
  </cols>
  <sheetData>
    <row r="1" spans="1:8" ht="15.75" x14ac:dyDescent="0.25">
      <c r="A1" s="13"/>
      <c r="B1" s="13"/>
      <c r="C1" s="13"/>
      <c r="D1" s="13"/>
      <c r="E1" s="14"/>
      <c r="F1" s="14"/>
      <c r="G1" s="14"/>
      <c r="H1" s="13"/>
    </row>
    <row r="2" spans="1:8" ht="15.75" x14ac:dyDescent="0.25">
      <c r="A2" s="13"/>
      <c r="B2" s="13"/>
      <c r="C2" s="13"/>
      <c r="D2" s="13"/>
      <c r="E2" s="14"/>
      <c r="F2" s="14"/>
      <c r="G2" s="48" t="s">
        <v>9</v>
      </c>
      <c r="H2" s="48"/>
    </row>
    <row r="3" spans="1:8" ht="15.75" x14ac:dyDescent="0.25">
      <c r="A3" s="13"/>
      <c r="B3" s="13"/>
      <c r="C3" s="13"/>
      <c r="D3" s="13"/>
      <c r="E3" s="14"/>
      <c r="F3" s="14"/>
      <c r="G3" s="48" t="s">
        <v>10</v>
      </c>
      <c r="H3" s="48"/>
    </row>
    <row r="4" spans="1:8" ht="15.75" x14ac:dyDescent="0.25">
      <c r="A4" s="13"/>
      <c r="B4" s="13"/>
      <c r="C4" s="13"/>
      <c r="D4" s="13"/>
      <c r="E4" s="14"/>
      <c r="F4" s="14"/>
      <c r="G4" s="48" t="s">
        <v>11</v>
      </c>
      <c r="H4" s="48"/>
    </row>
    <row r="5" spans="1:8" ht="15.75" x14ac:dyDescent="0.25">
      <c r="A5" s="13"/>
      <c r="B5" s="13"/>
      <c r="C5" s="13"/>
      <c r="D5" s="13"/>
      <c r="E5" s="14"/>
      <c r="F5" s="14"/>
      <c r="G5" s="49" t="s">
        <v>12</v>
      </c>
      <c r="H5" s="49"/>
    </row>
    <row r="6" spans="1:8" ht="15.75" x14ac:dyDescent="0.25">
      <c r="A6" s="2"/>
      <c r="B6" s="2"/>
      <c r="C6" s="2"/>
      <c r="D6" s="2"/>
      <c r="E6" s="2"/>
      <c r="F6" s="2"/>
      <c r="G6" s="2"/>
      <c r="H6" s="2"/>
    </row>
    <row r="7" spans="1:8" ht="15.75" x14ac:dyDescent="0.25">
      <c r="A7" s="62" t="s">
        <v>19</v>
      </c>
      <c r="B7" s="62"/>
      <c r="C7" s="62"/>
      <c r="D7" s="62"/>
      <c r="E7" s="62"/>
      <c r="F7" s="62"/>
      <c r="G7" s="62"/>
      <c r="H7" s="62"/>
    </row>
    <row r="8" spans="1:8" ht="16.5" thickBot="1" x14ac:dyDescent="0.3">
      <c r="A8" s="2"/>
      <c r="B8" s="2"/>
      <c r="C8" s="2"/>
      <c r="D8" s="2"/>
      <c r="E8" s="2"/>
      <c r="F8" s="2"/>
      <c r="G8" s="2"/>
      <c r="H8" s="2"/>
    </row>
    <row r="9" spans="1:8" ht="15.75" x14ac:dyDescent="0.25">
      <c r="A9" s="33" t="s">
        <v>0</v>
      </c>
      <c r="B9" s="34" t="s">
        <v>20</v>
      </c>
      <c r="C9" s="34" t="s">
        <v>3</v>
      </c>
      <c r="D9" s="34" t="s">
        <v>4</v>
      </c>
      <c r="E9" s="34" t="s">
        <v>7</v>
      </c>
      <c r="F9" s="35" t="s">
        <v>21</v>
      </c>
      <c r="G9" s="2"/>
      <c r="H9" s="2"/>
    </row>
    <row r="10" spans="1:8" ht="15.75" x14ac:dyDescent="0.25">
      <c r="A10" s="27">
        <v>1</v>
      </c>
      <c r="B10" s="5"/>
      <c r="C10" s="5">
        <v>22</v>
      </c>
      <c r="D10" s="5"/>
      <c r="E10" s="18">
        <f>umpetke!B2+umpetke!C2</f>
        <v>22600</v>
      </c>
      <c r="F10" s="21">
        <f>C10*E10</f>
        <v>497200</v>
      </c>
      <c r="G10" s="2"/>
      <c r="H10" s="2"/>
    </row>
    <row r="11" spans="1:8" ht="15.75" x14ac:dyDescent="0.25">
      <c r="A11" s="27">
        <v>2</v>
      </c>
      <c r="B11" s="5"/>
      <c r="C11" s="5">
        <v>38</v>
      </c>
      <c r="D11" s="5"/>
      <c r="E11" s="18">
        <f>umpetke!B3+umpetke!C3</f>
        <v>67800</v>
      </c>
      <c r="F11" s="21">
        <f t="shared" ref="F11:F24" si="0">C11*E11</f>
        <v>2576400</v>
      </c>
      <c r="G11" s="2"/>
      <c r="H11" s="2"/>
    </row>
    <row r="12" spans="1:8" ht="15.75" x14ac:dyDescent="0.25">
      <c r="A12" s="27">
        <v>3</v>
      </c>
      <c r="B12" s="5"/>
      <c r="C12" s="5"/>
      <c r="D12" s="5"/>
      <c r="E12" s="18">
        <f>umpetke!B4+umpetke!C4</f>
        <v>0</v>
      </c>
      <c r="F12" s="21">
        <f t="shared" si="0"/>
        <v>0</v>
      </c>
      <c r="G12" s="2"/>
      <c r="H12" s="2"/>
    </row>
    <row r="13" spans="1:8" ht="15.75" x14ac:dyDescent="0.25">
      <c r="A13" s="27">
        <v>4</v>
      </c>
      <c r="B13" s="5"/>
      <c r="C13" s="5"/>
      <c r="D13" s="5"/>
      <c r="E13" s="18">
        <f>umpetke!B5+umpetke!C5</f>
        <v>22600</v>
      </c>
      <c r="F13" s="21">
        <f t="shared" si="0"/>
        <v>0</v>
      </c>
      <c r="G13" s="2"/>
      <c r="H13" s="2"/>
    </row>
    <row r="14" spans="1:8" ht="15.75" x14ac:dyDescent="0.25">
      <c r="A14" s="27">
        <v>5</v>
      </c>
      <c r="B14" s="5"/>
      <c r="C14" s="5"/>
      <c r="D14" s="5"/>
      <c r="E14" s="18">
        <f>umpetke!B6+umpetke!C6</f>
        <v>0</v>
      </c>
      <c r="F14" s="21">
        <f t="shared" si="0"/>
        <v>0</v>
      </c>
      <c r="G14" s="2"/>
      <c r="H14" s="2"/>
    </row>
    <row r="15" spans="1:8" ht="15.75" x14ac:dyDescent="0.25">
      <c r="A15" s="27">
        <v>6</v>
      </c>
      <c r="B15" s="5"/>
      <c r="C15" s="5"/>
      <c r="D15" s="5"/>
      <c r="E15" s="18">
        <f>umpetke!B7+umpetke!C7</f>
        <v>0</v>
      </c>
      <c r="F15" s="21">
        <f t="shared" si="0"/>
        <v>0</v>
      </c>
      <c r="G15" s="2"/>
      <c r="H15" s="2"/>
    </row>
    <row r="16" spans="1:8" ht="15.75" x14ac:dyDescent="0.25">
      <c r="A16" s="27">
        <v>7</v>
      </c>
      <c r="B16" s="5"/>
      <c r="C16" s="5"/>
      <c r="D16" s="5"/>
      <c r="E16" s="18">
        <f>umpetke!B8+umpetke!C8</f>
        <v>0</v>
      </c>
      <c r="F16" s="21">
        <f t="shared" si="0"/>
        <v>0</v>
      </c>
      <c r="G16" s="2"/>
      <c r="H16" s="2"/>
    </row>
    <row r="17" spans="1:8" ht="15.75" x14ac:dyDescent="0.25">
      <c r="A17" s="27">
        <v>8</v>
      </c>
      <c r="B17" s="5"/>
      <c r="C17" s="5"/>
      <c r="D17" s="5"/>
      <c r="E17" s="18">
        <f>umpetke!B9+umpetke!C9</f>
        <v>0</v>
      </c>
      <c r="F17" s="21">
        <f t="shared" si="0"/>
        <v>0</v>
      </c>
      <c r="G17" s="2"/>
      <c r="H17" s="2"/>
    </row>
    <row r="18" spans="1:8" ht="15.75" x14ac:dyDescent="0.25">
      <c r="A18" s="27">
        <v>9</v>
      </c>
      <c r="B18" s="5"/>
      <c r="C18" s="5"/>
      <c r="D18" s="5"/>
      <c r="E18" s="18">
        <f>umpetke!B10+umpetke!C10</f>
        <v>0</v>
      </c>
      <c r="F18" s="21">
        <f t="shared" si="0"/>
        <v>0</v>
      </c>
      <c r="G18" s="2"/>
      <c r="H18" s="2"/>
    </row>
    <row r="19" spans="1:8" ht="15.75" x14ac:dyDescent="0.25">
      <c r="A19" s="27">
        <v>10</v>
      </c>
      <c r="B19" s="5"/>
      <c r="C19" s="5"/>
      <c r="D19" s="5"/>
      <c r="E19" s="18">
        <f>umpetke!B11+umpetke!C11</f>
        <v>0</v>
      </c>
      <c r="F19" s="21">
        <f t="shared" si="0"/>
        <v>0</v>
      </c>
      <c r="G19" s="2"/>
      <c r="H19" s="2"/>
    </row>
    <row r="20" spans="1:8" ht="15.75" x14ac:dyDescent="0.25">
      <c r="A20" s="27">
        <v>11</v>
      </c>
      <c r="B20" s="5"/>
      <c r="C20" s="5"/>
      <c r="D20" s="5"/>
      <c r="E20" s="18">
        <f>umpetke!B12+umpetke!C12</f>
        <v>0</v>
      </c>
      <c r="F20" s="21">
        <f t="shared" si="0"/>
        <v>0</v>
      </c>
      <c r="G20" s="2"/>
      <c r="H20" s="2"/>
    </row>
    <row r="21" spans="1:8" ht="15.75" x14ac:dyDescent="0.25">
      <c r="A21" s="27">
        <v>12</v>
      </c>
      <c r="B21" s="5"/>
      <c r="C21" s="5"/>
      <c r="D21" s="5"/>
      <c r="E21" s="18">
        <f>umpetke!B13+umpetke!C13</f>
        <v>0</v>
      </c>
      <c r="F21" s="21">
        <f t="shared" si="0"/>
        <v>0</v>
      </c>
      <c r="G21" s="2"/>
      <c r="H21" s="2"/>
    </row>
    <row r="22" spans="1:8" ht="15.75" x14ac:dyDescent="0.25">
      <c r="A22" s="27">
        <v>13</v>
      </c>
      <c r="B22" s="5"/>
      <c r="C22" s="5"/>
      <c r="D22" s="5"/>
      <c r="E22" s="18">
        <f>umpetke!B14+umpetke!C14</f>
        <v>0</v>
      </c>
      <c r="F22" s="21">
        <f t="shared" si="0"/>
        <v>0</v>
      </c>
      <c r="G22" s="2"/>
      <c r="H22" s="2"/>
    </row>
    <row r="23" spans="1:8" ht="15.75" x14ac:dyDescent="0.25">
      <c r="A23" s="27">
        <v>14</v>
      </c>
      <c r="B23" s="5"/>
      <c r="C23" s="5"/>
      <c r="D23" s="5"/>
      <c r="E23" s="18">
        <f>umpetke!B15+umpetke!C15</f>
        <v>0</v>
      </c>
      <c r="F23" s="21">
        <f t="shared" si="0"/>
        <v>0</v>
      </c>
      <c r="G23" s="2"/>
      <c r="H23" s="2"/>
    </row>
    <row r="24" spans="1:8" ht="15.75" x14ac:dyDescent="0.25">
      <c r="A24" s="27">
        <v>15</v>
      </c>
      <c r="B24" s="5"/>
      <c r="C24" s="5"/>
      <c r="D24" s="5"/>
      <c r="E24" s="18">
        <f>umpetke!B16+umpetke!C16</f>
        <v>0</v>
      </c>
      <c r="F24" s="21">
        <f t="shared" si="0"/>
        <v>0</v>
      </c>
      <c r="G24" s="2"/>
      <c r="H24" s="2"/>
    </row>
    <row r="25" spans="1:8" ht="16.5" thickBot="1" x14ac:dyDescent="0.3">
      <c r="A25" s="63" t="s">
        <v>23</v>
      </c>
      <c r="B25" s="64"/>
      <c r="C25" s="64"/>
      <c r="D25" s="64"/>
      <c r="E25" s="64"/>
      <c r="F25" s="36">
        <f>SUM(F10:F24)</f>
        <v>3073600</v>
      </c>
    </row>
    <row r="26" spans="1:8" ht="15.75" x14ac:dyDescent="0.25">
      <c r="A26" s="2"/>
      <c r="B26" s="2"/>
      <c r="C26" s="2"/>
      <c r="D26" s="2"/>
      <c r="E26" s="2"/>
      <c r="F26" s="2"/>
    </row>
    <row r="27" spans="1:8" ht="15.75" x14ac:dyDescent="0.25">
      <c r="A27" s="2"/>
      <c r="B27" s="2"/>
      <c r="C27" s="2"/>
      <c r="D27" s="2"/>
      <c r="E27" s="2"/>
      <c r="F27" s="2"/>
    </row>
    <row r="28" spans="1:8" ht="16.5" thickBot="1" x14ac:dyDescent="0.3">
      <c r="A28" s="44" t="s">
        <v>14</v>
      </c>
      <c r="B28" s="44"/>
      <c r="C28" s="44"/>
      <c r="D28" s="44"/>
      <c r="E28" s="44"/>
      <c r="F28" s="44"/>
    </row>
    <row r="29" spans="1:8" ht="15.75" x14ac:dyDescent="0.25">
      <c r="A29" s="23" t="s">
        <v>0</v>
      </c>
      <c r="B29" s="24" t="s">
        <v>15</v>
      </c>
      <c r="C29" s="24" t="s">
        <v>3</v>
      </c>
      <c r="D29" s="24" t="s">
        <v>4</v>
      </c>
      <c r="E29" s="25" t="s">
        <v>16</v>
      </c>
      <c r="F29" s="26" t="s">
        <v>17</v>
      </c>
    </row>
    <row r="30" spans="1:8" ht="15.75" x14ac:dyDescent="0.25">
      <c r="A30" s="27">
        <v>1</v>
      </c>
      <c r="B30" s="5"/>
      <c r="C30" s="5"/>
      <c r="D30" s="5"/>
      <c r="E30" s="6"/>
      <c r="F30" s="28"/>
    </row>
    <row r="31" spans="1:8" ht="15.75" x14ac:dyDescent="0.25">
      <c r="A31" s="27">
        <v>2</v>
      </c>
      <c r="B31" s="5"/>
      <c r="C31" s="5"/>
      <c r="D31" s="5"/>
      <c r="E31" s="6"/>
      <c r="F31" s="28"/>
    </row>
    <row r="32" spans="1:8" ht="15.75" x14ac:dyDescent="0.25">
      <c r="A32" s="27">
        <v>3</v>
      </c>
      <c r="B32" s="5"/>
      <c r="C32" s="5"/>
      <c r="D32" s="5"/>
      <c r="E32" s="6"/>
      <c r="F32" s="28"/>
    </row>
    <row r="33" spans="1:6" ht="15.75" x14ac:dyDescent="0.25">
      <c r="A33" s="27">
        <v>4</v>
      </c>
      <c r="B33" s="5"/>
      <c r="C33" s="5"/>
      <c r="D33" s="5"/>
      <c r="E33" s="6"/>
      <c r="F33" s="28"/>
    </row>
    <row r="34" spans="1:6" ht="16.5" thickBot="1" x14ac:dyDescent="0.3">
      <c r="A34" s="29">
        <v>5</v>
      </c>
      <c r="B34" s="30"/>
      <c r="C34" s="30"/>
      <c r="D34" s="30"/>
      <c r="E34" s="31"/>
      <c r="F34" s="32"/>
    </row>
    <row r="35" spans="1:6" ht="16.5" thickBot="1" x14ac:dyDescent="0.3">
      <c r="A35" s="2"/>
      <c r="B35" s="2"/>
      <c r="C35" s="2"/>
      <c r="D35" s="2"/>
      <c r="E35" s="3"/>
      <c r="F35" s="3"/>
    </row>
    <row r="36" spans="1:6" ht="16.5" thickBot="1" x14ac:dyDescent="0.3">
      <c r="A36" s="2"/>
      <c r="B36" s="55" t="s">
        <v>18</v>
      </c>
      <c r="C36" s="56"/>
      <c r="D36" s="56"/>
      <c r="E36" s="56"/>
      <c r="F36" s="20">
        <f>SUM(F30:F34)</f>
        <v>0</v>
      </c>
    </row>
    <row r="38" spans="1:6" ht="15.75" thickBot="1" x14ac:dyDescent="0.3">
      <c r="A38" s="1"/>
      <c r="B38" s="1"/>
      <c r="C38" s="1"/>
      <c r="D38" s="1"/>
      <c r="E38" s="1"/>
      <c r="F38" s="1"/>
    </row>
    <row r="39" spans="1:6" ht="15.75" x14ac:dyDescent="0.25">
      <c r="A39" s="57" t="s">
        <v>24</v>
      </c>
      <c r="B39" s="58"/>
      <c r="C39" s="58"/>
      <c r="D39" s="58"/>
      <c r="E39" s="58"/>
      <c r="F39" s="59"/>
    </row>
    <row r="40" spans="1:6" ht="15.75" x14ac:dyDescent="0.25">
      <c r="A40" s="60" t="s">
        <v>25</v>
      </c>
      <c r="B40" s="61"/>
      <c r="C40" s="61"/>
      <c r="D40" s="61"/>
      <c r="E40" s="61"/>
      <c r="F40" s="21"/>
    </row>
    <row r="41" spans="1:6" ht="15.75" x14ac:dyDescent="0.25">
      <c r="A41" s="60" t="s">
        <v>26</v>
      </c>
      <c r="B41" s="61"/>
      <c r="C41" s="61"/>
      <c r="D41" s="61"/>
      <c r="E41" s="61"/>
      <c r="F41" s="21"/>
    </row>
    <row r="42" spans="1:6" ht="16.5" thickBot="1" x14ac:dyDescent="0.3">
      <c r="A42" s="51" t="s">
        <v>27</v>
      </c>
      <c r="B42" s="52"/>
      <c r="C42" s="52"/>
      <c r="D42" s="52"/>
      <c r="E42" s="52"/>
      <c r="F42" s="22">
        <f>SUM(F25,F36)</f>
        <v>3073600</v>
      </c>
    </row>
    <row r="43" spans="1:6" ht="15.75" x14ac:dyDescent="0.25">
      <c r="A43" s="2"/>
      <c r="B43" s="2"/>
      <c r="C43" s="2"/>
      <c r="D43" s="2"/>
      <c r="E43" s="2"/>
      <c r="F43" s="2"/>
    </row>
    <row r="44" spans="1:6" ht="15.75" x14ac:dyDescent="0.25">
      <c r="A44" s="2"/>
      <c r="B44" s="2"/>
      <c r="C44" s="2"/>
      <c r="D44" s="2"/>
      <c r="E44" s="2"/>
      <c r="F44" s="2"/>
    </row>
    <row r="45" spans="1:6" ht="15.75" x14ac:dyDescent="0.25">
      <c r="B45" s="2"/>
      <c r="C45" s="2"/>
      <c r="D45" s="2"/>
      <c r="E45" s="2"/>
    </row>
    <row r="46" spans="1:6" ht="15.75" x14ac:dyDescent="0.25">
      <c r="B46" s="53" t="s">
        <v>28</v>
      </c>
      <c r="C46" s="53"/>
      <c r="D46" s="2"/>
      <c r="E46" s="16" t="s">
        <v>30</v>
      </c>
    </row>
    <row r="47" spans="1:6" ht="15.75" x14ac:dyDescent="0.25">
      <c r="B47" s="53" t="s">
        <v>29</v>
      </c>
      <c r="C47" s="53"/>
      <c r="D47" s="2"/>
      <c r="E47" s="16" t="s">
        <v>31</v>
      </c>
    </row>
    <row r="48" spans="1:6" ht="15.75" x14ac:dyDescent="0.25">
      <c r="B48" s="2"/>
      <c r="C48" s="2"/>
      <c r="D48" s="2"/>
      <c r="E48" s="16"/>
    </row>
    <row r="49" spans="2:5" ht="15.75" x14ac:dyDescent="0.25">
      <c r="B49" s="2"/>
      <c r="C49" s="2"/>
      <c r="D49" s="2"/>
      <c r="E49" s="16"/>
    </row>
    <row r="50" spans="2:5" ht="15.75" x14ac:dyDescent="0.25">
      <c r="B50" s="54" t="s">
        <v>33</v>
      </c>
      <c r="C50" s="54"/>
      <c r="D50" s="2"/>
      <c r="E50" s="16" t="s">
        <v>32</v>
      </c>
    </row>
    <row r="51" spans="2:5" ht="15.75" x14ac:dyDescent="0.25">
      <c r="B51" s="2"/>
      <c r="C51" s="2"/>
      <c r="D51" s="2"/>
      <c r="E51" s="2"/>
    </row>
    <row r="52" spans="2:5" ht="15.75" x14ac:dyDescent="0.25">
      <c r="B52" s="2"/>
      <c r="C52" s="2"/>
      <c r="D52" s="2"/>
      <c r="E52" s="2"/>
    </row>
    <row r="53" spans="2:5" ht="15.75" x14ac:dyDescent="0.25">
      <c r="B53" s="2"/>
      <c r="C53" s="2"/>
      <c r="D53" s="2"/>
      <c r="E53" s="2"/>
    </row>
  </sheetData>
  <mergeCells count="15">
    <mergeCell ref="A25:E25"/>
    <mergeCell ref="G2:H2"/>
    <mergeCell ref="G3:H3"/>
    <mergeCell ref="G4:H4"/>
    <mergeCell ref="G5:H5"/>
    <mergeCell ref="A7:H7"/>
    <mergeCell ref="A42:E42"/>
    <mergeCell ref="B46:C46"/>
    <mergeCell ref="B47:C47"/>
    <mergeCell ref="B50:C50"/>
    <mergeCell ref="A28:F28"/>
    <mergeCell ref="B36:E36"/>
    <mergeCell ref="A39:F39"/>
    <mergeCell ref="A40:E40"/>
    <mergeCell ref="A41:E41"/>
  </mergeCells>
  <pageMargins left="0.7" right="0.7" top="0.75" bottom="0.75" header="0.3" footer="0.3"/>
  <pageSetup scale="7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68A0-CBB1-4456-948A-1D206A732FE5}">
  <dimension ref="A1:C16"/>
  <sheetViews>
    <sheetView workbookViewId="0">
      <selection activeCell="B4" sqref="B4"/>
    </sheetView>
  </sheetViews>
  <sheetFormatPr defaultRowHeight="15" x14ac:dyDescent="0.25"/>
  <cols>
    <col min="1" max="1" width="3.28515625" bestFit="1" customWidth="1"/>
    <col min="2" max="2" width="27" customWidth="1"/>
    <col min="3" max="3" width="17" customWidth="1"/>
  </cols>
  <sheetData>
    <row r="1" spans="1:3" ht="15.75" x14ac:dyDescent="0.25">
      <c r="A1" s="19" t="s">
        <v>22</v>
      </c>
      <c r="B1" s="19" t="s">
        <v>16</v>
      </c>
      <c r="C1" s="19" t="s">
        <v>8</v>
      </c>
    </row>
    <row r="2" spans="1:3" ht="15.75" x14ac:dyDescent="0.25">
      <c r="A2" s="5">
        <v>1</v>
      </c>
      <c r="B2" s="18">
        <v>20000</v>
      </c>
      <c r="C2" s="6">
        <f>B2*13%</f>
        <v>2600</v>
      </c>
    </row>
    <row r="3" spans="1:3" ht="15.75" x14ac:dyDescent="0.25">
      <c r="A3" s="5">
        <v>2</v>
      </c>
      <c r="B3" s="18">
        <v>60000</v>
      </c>
      <c r="C3" s="6">
        <f t="shared" ref="C3:C16" si="0">B3*13%</f>
        <v>7800</v>
      </c>
    </row>
    <row r="4" spans="1:3" ht="15.75" x14ac:dyDescent="0.25">
      <c r="A4" s="5">
        <v>3</v>
      </c>
      <c r="B4" s="18"/>
      <c r="C4" s="6">
        <f t="shared" si="0"/>
        <v>0</v>
      </c>
    </row>
    <row r="5" spans="1:3" ht="15.75" x14ac:dyDescent="0.25">
      <c r="A5" s="5">
        <v>4</v>
      </c>
      <c r="B5" s="18">
        <v>20000</v>
      </c>
      <c r="C5" s="6">
        <f t="shared" si="0"/>
        <v>2600</v>
      </c>
    </row>
    <row r="6" spans="1:3" ht="15.75" x14ac:dyDescent="0.25">
      <c r="A6" s="5">
        <v>5</v>
      </c>
      <c r="B6" s="18"/>
      <c r="C6" s="6">
        <f t="shared" si="0"/>
        <v>0</v>
      </c>
    </row>
    <row r="7" spans="1:3" ht="15.75" x14ac:dyDescent="0.25">
      <c r="A7" s="5">
        <v>6</v>
      </c>
      <c r="B7" s="18"/>
      <c r="C7" s="6">
        <f t="shared" si="0"/>
        <v>0</v>
      </c>
    </row>
    <row r="8" spans="1:3" ht="15.75" x14ac:dyDescent="0.25">
      <c r="A8" s="5">
        <v>7</v>
      </c>
      <c r="B8" s="18"/>
      <c r="C8" s="6">
        <f t="shared" si="0"/>
        <v>0</v>
      </c>
    </row>
    <row r="9" spans="1:3" ht="15.75" x14ac:dyDescent="0.25">
      <c r="A9" s="5">
        <v>8</v>
      </c>
      <c r="B9" s="18"/>
      <c r="C9" s="6">
        <f t="shared" si="0"/>
        <v>0</v>
      </c>
    </row>
    <row r="10" spans="1:3" ht="15.75" x14ac:dyDescent="0.25">
      <c r="A10" s="5">
        <v>9</v>
      </c>
      <c r="B10" s="18"/>
      <c r="C10" s="6">
        <f t="shared" si="0"/>
        <v>0</v>
      </c>
    </row>
    <row r="11" spans="1:3" ht="15.75" x14ac:dyDescent="0.25">
      <c r="A11" s="5">
        <v>10</v>
      </c>
      <c r="B11" s="18"/>
      <c r="C11" s="6">
        <f t="shared" si="0"/>
        <v>0</v>
      </c>
    </row>
    <row r="12" spans="1:3" ht="15.75" x14ac:dyDescent="0.25">
      <c r="A12" s="5">
        <v>11</v>
      </c>
      <c r="B12" s="18"/>
      <c r="C12" s="6">
        <f t="shared" si="0"/>
        <v>0</v>
      </c>
    </row>
    <row r="13" spans="1:3" ht="15.75" x14ac:dyDescent="0.25">
      <c r="A13" s="5">
        <v>12</v>
      </c>
      <c r="B13" s="18"/>
      <c r="C13" s="6">
        <f t="shared" si="0"/>
        <v>0</v>
      </c>
    </row>
    <row r="14" spans="1:3" ht="15.75" x14ac:dyDescent="0.25">
      <c r="A14" s="5">
        <v>13</v>
      </c>
      <c r="B14" s="18"/>
      <c r="C14" s="6">
        <f t="shared" si="0"/>
        <v>0</v>
      </c>
    </row>
    <row r="15" spans="1:3" ht="15.75" x14ac:dyDescent="0.25">
      <c r="A15" s="5">
        <v>14</v>
      </c>
      <c r="B15" s="18"/>
      <c r="C15" s="6">
        <f t="shared" si="0"/>
        <v>0</v>
      </c>
    </row>
    <row r="16" spans="1:3" ht="15.75" x14ac:dyDescent="0.25">
      <c r="A16" s="5">
        <v>15</v>
      </c>
      <c r="B16" s="18"/>
      <c r="C16" s="6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umpetke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Anggas Angkusprana</dc:creator>
  <cp:lastModifiedBy>Anggas Angkusprana</cp:lastModifiedBy>
  <cp:lastPrinted>2026-09-09T13:21:52Z</cp:lastPrinted>
  <dcterms:created xsi:type="dcterms:W3CDTF">2026-09-09T11:56:08Z</dcterms:created>
  <dcterms:modified xsi:type="dcterms:W3CDTF">2026-09-09T13:56:21Z</dcterms:modified>
</cp:coreProperties>
</file>